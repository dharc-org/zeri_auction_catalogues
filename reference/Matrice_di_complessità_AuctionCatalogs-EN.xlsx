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rossetti\Downloads\"/>
    </mc:Choice>
  </mc:AlternateContent>
  <xr:revisionPtr revIDLastSave="0" documentId="8_{7A4F2C44-9819-400D-A6BD-AED30474B108}" xr6:coauthVersionLast="47" xr6:coauthVersionMax="47" xr10:uidLastSave="{00000000-0000-0000-0000-000000000000}"/>
  <bookViews>
    <workbookView xWindow="0" yWindow="0" windowWidth="19200" windowHeight="6350" xr2:uid="{00000000-000D-0000-FFFF-FFFF00000000}"/>
  </bookViews>
  <sheets>
    <sheet name="Foglio1" sheetId="1" r:id="rId1"/>
  </sheets>
  <definedNames>
    <definedName name="_xlnm._FilterDatabase" localSheetId="0" hidden="1">Foglio1!$A$1:$I$28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4" i="1"/>
  <c r="H2" i="1"/>
</calcChain>
</file>

<file path=xl/sharedStrings.xml><?xml version="1.0" encoding="utf-8"?>
<sst xmlns="http://schemas.openxmlformats.org/spreadsheetml/2006/main" count="228" uniqueCount="85">
  <si>
    <t>ID Research Questions</t>
  </si>
  <si>
    <t>Research Questions</t>
  </si>
  <si>
    <t>In final output</t>
  </si>
  <si>
    <t>Subject</t>
  </si>
  <si>
    <t>Category</t>
  </si>
  <si>
    <t>Priority</t>
  </si>
  <si>
    <t>Extraction feasibility</t>
  </si>
  <si>
    <t xml:space="preserve">Derived priority </t>
  </si>
  <si>
    <t>Extraction region</t>
  </si>
  <si>
    <t>Answers via</t>
  </si>
  <si>
    <t>RQ 01</t>
  </si>
  <si>
    <t xml:space="preserve">Where can I find the description of a lot relating to an item I am researching, containing all the information (attribution, collecting history, price, etc.) that is useful for my study? </t>
  </si>
  <si>
    <t>Lot</t>
  </si>
  <si>
    <t>1. Lot's identification and description</t>
  </si>
  <si>
    <t>High</t>
  </si>
  <si>
    <t>Lot description</t>
  </si>
  <si>
    <t>LLM</t>
  </si>
  <si>
    <t>RQ 02_v1</t>
  </si>
  <si>
    <t>What types of items were most frequently sold at auctions during that historical period (e.g. furniture, paintings, bronzes, ivories)?</t>
  </si>
  <si>
    <t>Object</t>
  </si>
  <si>
    <t>2. Objects classification</t>
  </si>
  <si>
    <t>Medium</t>
  </si>
  <si>
    <t>03 - Medium</t>
  </si>
  <si>
    <t>RQ 02_v2</t>
  </si>
  <si>
    <t>Cover page</t>
  </si>
  <si>
    <t>Zeri Catalogue</t>
  </si>
  <si>
    <t>RQ 03_v1</t>
  </si>
  <si>
    <t>What are the auctions focused on the specific sale of items (e.g. polyptychs, teapots, autographs, etc.) and how many are there?</t>
  </si>
  <si>
    <t>Auction event</t>
  </si>
  <si>
    <t>4. Auction houses and market dynamics</t>
  </si>
  <si>
    <t>RQ 03_v2</t>
  </si>
  <si>
    <t>RQ 04_v1</t>
  </si>
  <si>
    <t>Which auction houses are most active on the market and what do they specialise in?</t>
  </si>
  <si>
    <t>Auction house</t>
  </si>
  <si>
    <t>Low</t>
  </si>
  <si>
    <t>RQ 4_v2</t>
  </si>
  <si>
    <t>RQ 5</t>
  </si>
  <si>
    <t>What are the most common attributes for items offered for sale?</t>
  </si>
  <si>
    <t>3. Attributions and authors</t>
  </si>
  <si>
    <t>RQ 6</t>
  </si>
  <si>
    <t>Which of the proposed attributions for the objects are certain (derived from inscriptions, signatures or documentation) and which are mere hypotheses?</t>
  </si>
  <si>
    <t>RQ 7</t>
  </si>
  <si>
    <t>In the case of book and document sales, who are the most frequently mentioned authors of these texts?</t>
  </si>
  <si>
    <t>RQ 8</t>
  </si>
  <si>
    <t>Which subjects are most commonly depicted (e.g. are portraits or still lifes more fashionable in certain historical periods?)</t>
  </si>
  <si>
    <t>RQ 9</t>
  </si>
  <si>
    <t>What are the periods of origin of the items offered for sale?</t>
  </si>
  <si>
    <t>RQ 10</t>
  </si>
  <si>
    <t>What are the most common types of schools for the items offered for sale?</t>
  </si>
  <si>
    <t>RQ 11</t>
  </si>
  <si>
    <t>When did the collectors' market become interested in 13th- and 14th-century paintings?</t>
  </si>
  <si>
    <t>5. Historical enhancement</t>
  </si>
  <si>
    <t>RQ 12</t>
  </si>
  <si>
    <t>Which auction houses have contributed most to the commercialisation of Italian primitives (paintings by artists active up to the 15th century)?</t>
  </si>
  <si>
    <t>RQ 13</t>
  </si>
  <si>
    <t>What are the most common styles of items offered for sale (e.g., are Baroque or Rococo paintings more popular in certain historical periods?)</t>
  </si>
  <si>
    <t>RQ 14</t>
  </si>
  <si>
    <t>Where were the items for sale produced (e.g. ceramics) or found (e.g. archaeological artefacts)?</t>
  </si>
  <si>
    <t>RQ 15</t>
  </si>
  <si>
    <t>Who was the last owner of the collection of items being sold?</t>
  </si>
  <si>
    <t>Collection</t>
  </si>
  <si>
    <t>Zeri Catalogue / LLM</t>
  </si>
  <si>
    <t>RQ 16</t>
  </si>
  <si>
    <t xml:space="preserve">What is the collecting history of the items offered for sale? </t>
  </si>
  <si>
    <t>RQ 17</t>
  </si>
  <si>
    <t xml:space="preserve">What is the exhibition history of the items for sale? </t>
  </si>
  <si>
    <t>RQ 18</t>
  </si>
  <si>
    <t>Which of the items sold are unpublished, and for how many is a bibliography cited in the catalogues available?</t>
  </si>
  <si>
    <t>RQ 19</t>
  </si>
  <si>
    <t>How many illustrated catalogues are there?</t>
  </si>
  <si>
    <t>Catalogue</t>
  </si>
  <si>
    <t>Tables</t>
  </si>
  <si>
    <t>RQ 20</t>
  </si>
  <si>
    <t>Which lots have illustrations available?</t>
  </si>
  <si>
    <t>Tables, lot description</t>
  </si>
  <si>
    <t>RQ 21</t>
  </si>
  <si>
    <t>Which art historians contribute to the organisation of auctions?</t>
  </si>
  <si>
    <t>RQ 22</t>
  </si>
  <si>
    <t>Which art historians contribute to the expansion of the catalogue by providing attributions or consulting services?</t>
  </si>
  <si>
    <t>Preface</t>
  </si>
  <si>
    <t>RQ 23</t>
  </si>
  <si>
    <t>How often are auctions held over the years? Within the identified time frame, are there any chronological ranges that are central to the history of the art market?</t>
  </si>
  <si>
    <t>RQ 24</t>
  </si>
  <si>
    <t>When prices are present and detectable with OCR, is it possible to understand the prices at which certain types of items were sold in different periods?</t>
  </si>
  <si>
    <t>Annotations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</si>
</sst>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rgb="FF000000"/>
      <name val="Arial"/>
      <scheme val="minor"/>
    </font>
    <font>
      <sz val="11"/>
      <name val="Arial"/>
      <family val="2"/>
      <scheme val="major"/>
    </font>
    <font>
      <b/>
      <sz val="12"/>
      <name val="Arial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66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D1D1D1"/>
      </left>
      <right style="thin">
        <color rgb="FFD1D1D1"/>
      </right>
      <top style="thin">
        <color rgb="FFD1D1D1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/>
      <right/>
      <top/>
      <bottom style="thin">
        <color rgb="FF284E3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4" xfId="0" applyFont="1" applyBorder="1" applyAlignment="1">
      <alignment vertical="top" wrapText="1"/>
    </xf>
    <xf numFmtId="0" fontId="1" fillId="2" borderId="0" xfId="0" applyFont="1" applyFill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5" borderId="0" xfId="0" applyFont="1" applyFill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1" fillId="6" borderId="0" xfId="0" applyFont="1" applyFill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vertical="center" wrapText="1"/>
    </xf>
    <xf numFmtId="49" fontId="2" fillId="6" borderId="2" xfId="0" applyNumberFormat="1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left" vertical="center" wrapText="1"/>
    </xf>
  </cellXfs>
  <cellStyles count="1">
    <cellStyle name="Normale" xfId="0" builtinId="0"/>
  </cellStyles>
  <dxfs count="26">
    <dxf>
      <font>
        <b val="0"/>
        <strike val="0"/>
        <outline val="0"/>
        <shadow val="0"/>
        <u val="none"/>
        <vertAlign val="baseline"/>
        <sz val="11"/>
        <color auto="1"/>
        <name val="Arial"/>
        <scheme val="major"/>
      </font>
      <alignment horizontal="left" vertical="top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ajor"/>
      </font>
      <alignment horizontal="left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scheme val="maj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ajor"/>
      </font>
      <alignment horizontal="center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scheme val="major"/>
      </font>
      <alignment horizontal="left" vertical="top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ajor"/>
      </font>
      <alignment horizontal="left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scheme val="major"/>
      </font>
      <alignment horizontal="left" vertical="top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ajor"/>
      </font>
      <alignment horizontal="left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scheme val="major"/>
      </font>
      <alignment horizontal="left" vertical="top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ajor"/>
      </font>
      <alignment horizontal="left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scheme val="major"/>
      </font>
      <alignment horizontal="left" vertical="top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ajor"/>
      </font>
      <alignment horizontal="left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scheme val="major"/>
      </font>
      <alignment horizontal="general" vertical="top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ajor"/>
      </font>
      <alignment horizontal="general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scheme val="major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ajor"/>
      </font>
      <alignment horizontal="left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scheme val="major"/>
      </font>
      <alignment horizontal="left" vertical="top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ajor"/>
      </font>
      <alignment horizontal="left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scheme val="major"/>
      </font>
      <alignment horizontal="left" vertical="top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ajor"/>
      </font>
      <alignment horizontal="left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scheme val="major"/>
      </font>
      <alignment horizontal="left" vertical="top" wrapText="1"/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scheme val="major"/>
      </font>
      <alignment horizontal="left" vertical="top" wrapText="1"/>
    </dxf>
    <dxf>
      <font>
        <b/>
        <strike val="0"/>
        <outline val="0"/>
        <shadow val="0"/>
        <u val="none"/>
        <vertAlign val="baseline"/>
        <sz val="12"/>
        <color auto="1"/>
        <name val="Arial"/>
        <scheme val="maj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1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Foglio1-style" pivot="0" count="3" xr9:uid="{00000000-0011-0000-FFFF-FFFF00000000}">
      <tableStyleElement type="headerRow" dxfId="25"/>
      <tableStyleElement type="firstRowStripe" dxfId="24"/>
      <tableStyleElement type="secondRowStripe" dxfId="23"/>
    </tableStyle>
  </tableStyles>
  <colors>
    <mruColors>
      <color rgb="FFFF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rice_di_priorità" displayName="Matrice_di_priorità" ref="A1:J29" totalsRowCount="1" headerRowDxfId="22" dataDxfId="21" totalsRowDxfId="20">
  <autoFilter ref="A1:J28" xr:uid="{00000000-0009-0000-0100-000001000000}"/>
  <sortState xmlns:xlrd2="http://schemas.microsoft.com/office/spreadsheetml/2017/richdata2" ref="A2:P28">
    <sortCondition ref="A2:A28"/>
  </sortState>
  <tableColumns count="10">
    <tableColumn id="1" xr3:uid="{00000000-0010-0000-0000-000001000000}" name="ID Research Questions" dataDxfId="18" totalsRowDxfId="19"/>
    <tableColumn id="2" xr3:uid="{00000000-0010-0000-0000-000002000000}" name="Research Questions" dataDxfId="16" totalsRowDxfId="17"/>
    <tableColumn id="16" xr3:uid="{00000000-0010-0000-0000-000010000000}" name="In final output" dataDxfId="14" totalsRowDxfId="15"/>
    <tableColumn id="3" xr3:uid="{00000000-0010-0000-0000-000003000000}" name="Subject" dataDxfId="12" totalsRowDxfId="13"/>
    <tableColumn id="4" xr3:uid="{00000000-0010-0000-0000-000004000000}" name="Category" dataDxfId="10" totalsRowDxfId="11"/>
    <tableColumn id="5" xr3:uid="{00000000-0010-0000-0000-000005000000}" name="Priority" dataDxfId="8" totalsRowDxfId="9"/>
    <tableColumn id="6" xr3:uid="{00000000-0010-0000-0000-000006000000}" name="Extraction feasibility" dataDxfId="6" totalsRowDxfId="7"/>
    <tableColumn id="7" xr3:uid="{00000000-0010-0000-0000-000007000000}" name="Derived priority " dataDxfId="4" totalsRowDxfId="5"/>
    <tableColumn id="8" xr3:uid="{00000000-0010-0000-0000-000008000000}" name="Extraction region" dataDxfId="2" totalsRowDxfId="3"/>
    <tableColumn id="13" xr3:uid="{00000000-0010-0000-0000-00000D000000}" name="Answers via" dataDxfId="0" totalsRowDxfId="1"/>
  </tableColumns>
  <tableStyleInfo name="Foglio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998"/>
  <sheetViews>
    <sheetView tabSelected="1" zoomScaleNormal="100" workbookViewId="0">
      <pane xSplit="3" topLeftCell="D1" activePane="topRight" state="frozen"/>
      <selection pane="topRight" activeCell="D4" sqref="D4"/>
    </sheetView>
  </sheetViews>
  <sheetFormatPr defaultColWidth="40" defaultRowHeight="15.75" customHeight="1"/>
  <cols>
    <col min="1" max="1" width="23.5703125" style="9" customWidth="1"/>
    <col min="2" max="2" width="38.5703125" style="9" customWidth="1"/>
    <col min="3" max="3" width="15.140625" style="9" customWidth="1"/>
    <col min="4" max="4" width="22.140625" style="15" customWidth="1"/>
    <col min="5" max="5" width="35.28515625" style="9" customWidth="1"/>
    <col min="6" max="6" width="15.42578125" style="9" customWidth="1"/>
    <col min="7" max="7" width="25.7109375" style="9" customWidth="1"/>
    <col min="8" max="8" width="24" style="9" customWidth="1"/>
    <col min="9" max="9" width="27.140625" style="16" customWidth="1"/>
    <col min="10" max="10" width="21.85546875" style="9" customWidth="1"/>
    <col min="11" max="16384" width="40" style="9"/>
  </cols>
  <sheetData>
    <row r="1" spans="1:19" s="20" customFormat="1" ht="42" customHeight="1">
      <c r="A1" s="21" t="s">
        <v>0</v>
      </c>
      <c r="B1" s="22" t="s">
        <v>1</v>
      </c>
      <c r="C1" s="22" t="s">
        <v>2</v>
      </c>
      <c r="D1" s="23" t="s">
        <v>3</v>
      </c>
      <c r="E1" s="22" t="s">
        <v>4</v>
      </c>
      <c r="F1" s="22" t="s">
        <v>5</v>
      </c>
      <c r="G1" s="24" t="s">
        <v>6</v>
      </c>
      <c r="H1" s="24" t="s">
        <v>7</v>
      </c>
      <c r="I1" s="25" t="s">
        <v>8</v>
      </c>
      <c r="J1" s="26" t="s">
        <v>9</v>
      </c>
    </row>
    <row r="2" spans="1:19" ht="97.5" customHeight="1">
      <c r="A2" s="1" t="s">
        <v>10</v>
      </c>
      <c r="B2" s="2" t="s">
        <v>11</v>
      </c>
      <c r="C2" s="3">
        <v>1</v>
      </c>
      <c r="D2" s="4" t="s">
        <v>12</v>
      </c>
      <c r="E2" s="2" t="s">
        <v>13</v>
      </c>
      <c r="F2" s="2" t="s">
        <v>14</v>
      </c>
      <c r="G2" s="2" t="s">
        <v>14</v>
      </c>
      <c r="H2" s="2" t="str">
        <f>IF(AND(F2="High",G2="High"),"01 - Maximum",
  IF(OR(AND(F2="High",G2="Medium"),AND(F2="Medium",G2="High")),"02 - High",
  IF(OR(AND(F2="Medium",G2="Medium"),AND(F2="High",G2="Low"),AND(F2="Low",G2="High")),"03 - Medium",
  IF(AND(F2="Low",G2="Medium"),"04 - Low","05 - Very low"))))</f>
        <v>01 - Maximum</v>
      </c>
      <c r="I2" s="2" t="s">
        <v>15</v>
      </c>
      <c r="J2" s="5" t="s">
        <v>16</v>
      </c>
    </row>
    <row r="3" spans="1:19" ht="75" customHeight="1">
      <c r="A3" s="6" t="s">
        <v>17</v>
      </c>
      <c r="B3" s="7" t="s">
        <v>18</v>
      </c>
      <c r="C3" s="8">
        <v>1</v>
      </c>
      <c r="D3" s="7" t="s">
        <v>19</v>
      </c>
      <c r="E3" s="7" t="s">
        <v>20</v>
      </c>
      <c r="F3" s="7" t="s">
        <v>14</v>
      </c>
      <c r="G3" s="7" t="s">
        <v>21</v>
      </c>
      <c r="H3" s="7" t="s">
        <v>22</v>
      </c>
      <c r="I3" s="7" t="s">
        <v>15</v>
      </c>
      <c r="J3" s="9" t="s">
        <v>16</v>
      </c>
    </row>
    <row r="4" spans="1:19" ht="86.25" customHeight="1">
      <c r="A4" s="1" t="s">
        <v>23</v>
      </c>
      <c r="B4" s="2" t="s">
        <v>18</v>
      </c>
      <c r="C4" s="3">
        <v>1</v>
      </c>
      <c r="D4" s="4" t="s">
        <v>19</v>
      </c>
      <c r="E4" s="2" t="s">
        <v>20</v>
      </c>
      <c r="F4" s="2" t="s">
        <v>14</v>
      </c>
      <c r="G4" s="2" t="s">
        <v>14</v>
      </c>
      <c r="H4" s="2" t="str">
        <f>IF(AND(F4="High",G4="High"),"01 - Maximum",
  IF(OR(AND(F4="High",G4="Medium"),AND(F4="Medium",G4="High")),"02 - High",
  IF(OR(AND(F4="Medium",G4="Medium"),AND(F4="High",G4="Low"),AND(F4="Low",G4="High")),"03 - Medium",
  IF(AND(F4="Low",G4="Medium"),"04 - Low","05 - Very low"))))</f>
        <v>01 - Maximum</v>
      </c>
      <c r="I4" s="2" t="s">
        <v>24</v>
      </c>
      <c r="J4" s="9" t="s">
        <v>25</v>
      </c>
    </row>
    <row r="5" spans="1:19" ht="79.5" customHeight="1">
      <c r="A5" s="6" t="s">
        <v>26</v>
      </c>
      <c r="B5" s="7" t="s">
        <v>27</v>
      </c>
      <c r="C5" s="8">
        <v>1</v>
      </c>
      <c r="D5" s="10" t="s">
        <v>28</v>
      </c>
      <c r="E5" s="7" t="s">
        <v>29</v>
      </c>
      <c r="F5" s="7" t="s">
        <v>14</v>
      </c>
      <c r="G5" s="7" t="s">
        <v>21</v>
      </c>
      <c r="H5" s="7" t="s">
        <v>22</v>
      </c>
      <c r="I5" s="7" t="s">
        <v>15</v>
      </c>
      <c r="J5" s="9" t="s">
        <v>16</v>
      </c>
    </row>
    <row r="6" spans="1:19" ht="82.5" customHeight="1">
      <c r="A6" s="1" t="s">
        <v>30</v>
      </c>
      <c r="B6" s="2" t="s">
        <v>27</v>
      </c>
      <c r="C6" s="3">
        <v>1</v>
      </c>
      <c r="D6" s="4" t="s">
        <v>28</v>
      </c>
      <c r="E6" s="2" t="s">
        <v>29</v>
      </c>
      <c r="F6" s="2" t="s">
        <v>14</v>
      </c>
      <c r="G6" s="2" t="s">
        <v>14</v>
      </c>
      <c r="H6" s="2" t="str">
        <f>IF(AND(F6="High",G6="High"),"01 - Maximum",
  IF(OR(AND(F6="High",G6="Medium"),AND(F6="Medium",G6="High")),"02 - High",
  IF(OR(AND(F6="Medium",G6="Medium"),AND(F6="High",G6="Low"),AND(F6="Low",G6="High")),"03 - Medium",
  IF(AND(F6="Low",G6="Medium"),"04 - Low","05 - Very low"))))</f>
        <v>01 - Maximum</v>
      </c>
      <c r="I6" s="2" t="s">
        <v>24</v>
      </c>
      <c r="J6" s="9" t="s">
        <v>25</v>
      </c>
    </row>
    <row r="7" spans="1:19" ht="57.6" customHeight="1">
      <c r="A7" s="1" t="s">
        <v>31</v>
      </c>
      <c r="B7" s="2" t="s">
        <v>32</v>
      </c>
      <c r="C7" s="3">
        <v>1</v>
      </c>
      <c r="D7" s="4" t="s">
        <v>33</v>
      </c>
      <c r="E7" s="2" t="s">
        <v>29</v>
      </c>
      <c r="F7" s="2" t="s">
        <v>34</v>
      </c>
      <c r="G7" s="2" t="s">
        <v>14</v>
      </c>
      <c r="H7" s="2" t="str">
        <f>IF(AND(F7="High",G7="High"),"01 - Maximum",
  IF(OR(AND(F7="High",G7="Medium"),AND(F7="Medium",G7="High")),"02 - High",
  IF(OR(AND(F7="Medium",G7="Medium"),AND(F7="High",G7="Low"),AND(F7="Low",G7="High")),"03 - Medium",
  IF(AND(F7="Low",G7="Medium"),"04 - Low","05 - Very low"))))</f>
        <v>03 - Medium</v>
      </c>
      <c r="I7" s="2" t="s">
        <v>24</v>
      </c>
      <c r="J7" s="9" t="s">
        <v>25</v>
      </c>
    </row>
    <row r="8" spans="1:19" ht="51.6" customHeight="1">
      <c r="A8" s="6" t="s">
        <v>35</v>
      </c>
      <c r="B8" s="7" t="s">
        <v>32</v>
      </c>
      <c r="C8" s="8">
        <v>1</v>
      </c>
      <c r="D8" s="10" t="s">
        <v>33</v>
      </c>
      <c r="E8" s="7" t="s">
        <v>29</v>
      </c>
      <c r="F8" s="7" t="s">
        <v>34</v>
      </c>
      <c r="G8" s="7" t="s">
        <v>14</v>
      </c>
      <c r="H8" s="7" t="str">
        <f>IF(AND(F8="High",G8="High"),"01 - Maximum",
  IF(OR(AND(F8="High",G8="Medium"),AND(F8="Medium",G8="High")),"02 - High",
  IF(OR(AND(F8="Medium",G8="Medium"),AND(F8="High",G8="Low"),AND(F8="Low",G8="High")),"03 - Medium",
  IF(AND(F8="Low",G8="Medium"),"04 - Low","05 - Very low"))))</f>
        <v>03 - Medium</v>
      </c>
      <c r="I8" s="7" t="s">
        <v>24</v>
      </c>
      <c r="J8" s="9" t="s">
        <v>16</v>
      </c>
    </row>
    <row r="9" spans="1:19" ht="40.5" customHeight="1">
      <c r="A9" s="1" t="s">
        <v>36</v>
      </c>
      <c r="B9" s="2" t="s">
        <v>37</v>
      </c>
      <c r="C9" s="3">
        <v>1</v>
      </c>
      <c r="D9" s="4" t="s">
        <v>19</v>
      </c>
      <c r="E9" s="2" t="s">
        <v>38</v>
      </c>
      <c r="F9" s="2" t="s">
        <v>14</v>
      </c>
      <c r="G9" s="2" t="s">
        <v>34</v>
      </c>
      <c r="H9" s="2" t="str">
        <f>IF(AND(F9="High",G9="High"),"01 - Maximum",
  IF(OR(AND(F9="High",G9="Medium"),AND(F9="Medium",G9="High")),"02 - High",
  IF(OR(AND(F9="Medium",G9="Medium"),AND(F9="High",G9="Low"),AND(F9="Low",G9="High")),"03 - Medium",
  IF(AND(F9="Low",G9="Medium"),"04 - Low","05 - Very low"))))</f>
        <v>03 - Medium</v>
      </c>
      <c r="I9" s="2" t="s">
        <v>15</v>
      </c>
      <c r="J9" s="9" t="s">
        <v>16</v>
      </c>
    </row>
    <row r="10" spans="1:19" ht="75" customHeight="1">
      <c r="A10" s="6" t="s">
        <v>39</v>
      </c>
      <c r="B10" s="7" t="s">
        <v>40</v>
      </c>
      <c r="C10" s="8">
        <v>0</v>
      </c>
      <c r="D10" s="4" t="s">
        <v>19</v>
      </c>
      <c r="E10" s="7" t="s">
        <v>38</v>
      </c>
      <c r="F10" s="7" t="s">
        <v>34</v>
      </c>
      <c r="G10" s="7" t="s">
        <v>34</v>
      </c>
      <c r="H10" s="7" t="str">
        <f>IF(AND(F10="High",G10="High"),"01 - Maximum",
  IF(OR(AND(F10="High",G10="Medium"),AND(F10="Medium",G10="High")),"02 - High",
  IF(OR(AND(F10="Medium",G10="Medium"),AND(F10="High",G10="Low"),AND(F10="Low",G10="High")),"03 - Medium",
  IF(AND(F10="Low",G10="Medium"),"04 - Low","05 - Very low"))))</f>
        <v>05 - Very low</v>
      </c>
      <c r="I10" s="7" t="s">
        <v>15</v>
      </c>
      <c r="J10" s="9" t="s">
        <v>16</v>
      </c>
    </row>
    <row r="11" spans="1:19" ht="56.45" customHeight="1">
      <c r="A11" s="1" t="s">
        <v>41</v>
      </c>
      <c r="B11" s="2" t="s">
        <v>42</v>
      </c>
      <c r="C11" s="3">
        <v>1</v>
      </c>
      <c r="D11" s="4" t="s">
        <v>19</v>
      </c>
      <c r="E11" s="2" t="s">
        <v>38</v>
      </c>
      <c r="F11" s="2" t="s">
        <v>34</v>
      </c>
      <c r="G11" s="2" t="s">
        <v>34</v>
      </c>
      <c r="H11" s="2" t="str">
        <f>IF(AND(F11="High",G11="High"),"01 - Maximum",
  IF(OR(AND(F11="High",G11="Medium"),AND(F11="Medium",G11="High")),"02 - High",
  IF(OR(AND(F11="Medium",G11="Medium"),AND(F11="High",G11="Low"),AND(F11="Low",G11="High")),"03 - Medium",
  IF(AND(F11="Low",G11="Medium"),"04 - Low","05 - Very low"))))</f>
        <v>05 - Very low</v>
      </c>
      <c r="I11" s="2" t="s">
        <v>15</v>
      </c>
      <c r="J11" s="9" t="s">
        <v>16</v>
      </c>
    </row>
    <row r="12" spans="1:19" ht="60.6" customHeight="1">
      <c r="A12" s="6" t="s">
        <v>43</v>
      </c>
      <c r="B12" s="7" t="s">
        <v>44</v>
      </c>
      <c r="C12" s="8">
        <v>0</v>
      </c>
      <c r="D12" s="4" t="s">
        <v>19</v>
      </c>
      <c r="E12" s="7" t="s">
        <v>20</v>
      </c>
      <c r="F12" s="7" t="s">
        <v>14</v>
      </c>
      <c r="G12" s="7" t="s">
        <v>21</v>
      </c>
      <c r="H12" s="7" t="str">
        <f>IF(AND(F12="High",G12="High"),"01 - Maximum",
  IF(OR(AND(F12="High",G12="Medium"),AND(F12="Medium",G12="High")),"02 - High",
  IF(OR(AND(F12="Medium",G12="Medium"),AND(F12="High",G12="Low"),AND(F12="Low",G12="High")),"03 - Medium",
  IF(AND(F12="Low",G12="Medium"),"04 - Low","05 - Very low"))))</f>
        <v>02 - High</v>
      </c>
      <c r="I12" s="7" t="s">
        <v>15</v>
      </c>
      <c r="J12" s="9" t="s">
        <v>16</v>
      </c>
    </row>
    <row r="13" spans="1:19" ht="50.1" customHeight="1">
      <c r="A13" s="11" t="s">
        <v>45</v>
      </c>
      <c r="B13" s="12" t="s">
        <v>46</v>
      </c>
      <c r="C13" s="13">
        <v>1</v>
      </c>
      <c r="D13" s="4" t="s">
        <v>19</v>
      </c>
      <c r="E13" s="14" t="s">
        <v>20</v>
      </c>
      <c r="F13" s="14" t="s">
        <v>14</v>
      </c>
      <c r="G13" s="14" t="s">
        <v>21</v>
      </c>
      <c r="H13" s="14" t="str">
        <f>IF(AND(F13="High",G13="High"),"01 - Maximum",
  IF(OR(AND(F13="High",G13="Medium"),AND(F13="Medium",G13="High")),"02 - High",
  IF(OR(AND(F13="Medium",G13="Medium"),AND(F13="High",G13="Low"),AND(F13="Low",G13="High")),"03 - Medium",
  IF(AND(F13="Low",G13="Medium"),"04 - Low","05 - Very low"))))</f>
        <v>02 - High</v>
      </c>
      <c r="I13" s="14" t="s">
        <v>24</v>
      </c>
      <c r="J13" s="9" t="s">
        <v>16</v>
      </c>
    </row>
    <row r="14" spans="1:19" s="17" customFormat="1" ht="56.1" customHeight="1">
      <c r="A14" s="6" t="s">
        <v>47</v>
      </c>
      <c r="B14" s="7" t="s">
        <v>48</v>
      </c>
      <c r="C14" s="8">
        <v>0</v>
      </c>
      <c r="D14" s="4" t="s">
        <v>19</v>
      </c>
      <c r="E14" s="7" t="s">
        <v>20</v>
      </c>
      <c r="F14" s="7" t="s">
        <v>14</v>
      </c>
      <c r="G14" s="7" t="s">
        <v>34</v>
      </c>
      <c r="H14" s="7" t="str">
        <f>IF(AND(F14="High",G14="High"),"01 - Maximum",
  IF(OR(AND(F14="High",G14="Medium"),AND(F14="Medium",G14="High")),"02 - High",
  IF(OR(AND(F14="Medium",G14="Medium"),AND(F14="High",G14="Low"),AND(F14="Low",G14="High")),"03 - Medium",
  IF(AND(F14="Low",G14="Medium"),"04 - Low","05 - Very low"))))</f>
        <v>03 - Medium</v>
      </c>
      <c r="I14" s="7" t="s">
        <v>15</v>
      </c>
      <c r="J14" s="9" t="s">
        <v>16</v>
      </c>
      <c r="K14" s="9"/>
      <c r="L14" s="9"/>
      <c r="M14" s="9"/>
      <c r="N14" s="9"/>
      <c r="O14" s="9"/>
      <c r="P14" s="9"/>
      <c r="Q14" s="9"/>
      <c r="R14" s="9"/>
      <c r="S14" s="9"/>
    </row>
    <row r="15" spans="1:19" s="17" customFormat="1" ht="60" customHeight="1">
      <c r="A15" s="1" t="s">
        <v>49</v>
      </c>
      <c r="B15" s="2" t="s">
        <v>50</v>
      </c>
      <c r="C15" s="3">
        <v>0</v>
      </c>
      <c r="D15" s="4" t="s">
        <v>19</v>
      </c>
      <c r="E15" s="2" t="s">
        <v>51</v>
      </c>
      <c r="F15" s="2" t="s">
        <v>34</v>
      </c>
      <c r="G15" s="2" t="s">
        <v>21</v>
      </c>
      <c r="H15" s="2" t="str">
        <f>IF(AND(F15="High",G15="High"),"01 - Maximum",
  IF(OR(AND(F15="High",G15="Medium"),AND(F15="Medium",G15="High")),"02 - High",
  IF(OR(AND(F15="Medium",G15="Medium"),AND(F15="High",G15="Low"),AND(F15="Low",G15="High")),"03 - Medium",
  IF(AND(F15="Low",G15="Medium"),"04 - Low","05 - Very low"))))</f>
        <v>04 - Low</v>
      </c>
      <c r="I15" s="2" t="s">
        <v>15</v>
      </c>
      <c r="J15" s="9" t="s">
        <v>16</v>
      </c>
      <c r="K15" s="9"/>
      <c r="L15" s="9"/>
      <c r="M15" s="9"/>
      <c r="N15" s="9"/>
      <c r="O15" s="9"/>
      <c r="P15" s="9"/>
      <c r="Q15" s="9"/>
      <c r="R15" s="9"/>
      <c r="S15" s="9"/>
    </row>
    <row r="16" spans="1:19" s="17" customFormat="1" ht="77.099999999999994" customHeight="1">
      <c r="A16" s="6" t="s">
        <v>52</v>
      </c>
      <c r="B16" s="7" t="s">
        <v>53</v>
      </c>
      <c r="C16" s="8">
        <v>0</v>
      </c>
      <c r="D16" s="10" t="s">
        <v>33</v>
      </c>
      <c r="E16" s="7" t="s">
        <v>29</v>
      </c>
      <c r="F16" s="7" t="s">
        <v>34</v>
      </c>
      <c r="G16" s="7" t="s">
        <v>21</v>
      </c>
      <c r="H16" s="7" t="str">
        <f>IF(AND(F16="High",G16="High"),"01 - Maximum",
  IF(OR(AND(F16="High",G16="Medium"),AND(F16="Medium",G16="High")),"02 - High",
  IF(OR(AND(F16="Medium",G16="Medium"),AND(F16="High",G16="Low"),AND(F16="Low",G16="High")),"03 - Medium",
  IF(AND(F16="Low",G16="Medium"),"04 - Low","05 - Very low"))))</f>
        <v>04 - Low</v>
      </c>
      <c r="I16" s="7" t="s">
        <v>15</v>
      </c>
      <c r="J16" s="9" t="s">
        <v>16</v>
      </c>
      <c r="K16" s="9"/>
      <c r="L16" s="9"/>
      <c r="M16" s="9"/>
      <c r="N16" s="9"/>
      <c r="O16" s="9"/>
      <c r="P16" s="9"/>
      <c r="Q16" s="9"/>
      <c r="R16" s="9"/>
      <c r="S16" s="9"/>
    </row>
    <row r="17" spans="1:19" s="17" customFormat="1" ht="71.099999999999994" customHeight="1">
      <c r="A17" s="1" t="s">
        <v>54</v>
      </c>
      <c r="B17" s="2" t="s">
        <v>55</v>
      </c>
      <c r="C17" s="3">
        <v>0</v>
      </c>
      <c r="D17" s="4" t="s">
        <v>19</v>
      </c>
      <c r="E17" s="2" t="s">
        <v>20</v>
      </c>
      <c r="F17" s="2" t="s">
        <v>14</v>
      </c>
      <c r="G17" s="2" t="s">
        <v>34</v>
      </c>
      <c r="H17" s="2" t="str">
        <f>IF(AND(F17="High",G17="High"),"01 - Maximum",
  IF(OR(AND(F17="High",G17="Medium"),AND(F17="Medium",G17="High")),"02 - High",
  IF(OR(AND(F17="Medium",G17="Medium"),AND(F17="High",G17="Low"),AND(F17="Low",G17="High")),"03 - Medium",
  IF(AND(F17="Low",G17="Medium"),"04 - Low","05 - Very low"))))</f>
        <v>03 - Medium</v>
      </c>
      <c r="I17" s="2" t="s">
        <v>15</v>
      </c>
      <c r="J17" s="9" t="s">
        <v>16</v>
      </c>
      <c r="K17" s="9"/>
      <c r="L17" s="9"/>
      <c r="M17" s="9"/>
      <c r="N17" s="9"/>
      <c r="O17" s="9"/>
      <c r="P17" s="9"/>
      <c r="Q17" s="9"/>
      <c r="R17" s="9"/>
      <c r="S17" s="9"/>
    </row>
    <row r="18" spans="1:19" ht="52.5" customHeight="1">
      <c r="A18" s="1" t="s">
        <v>56</v>
      </c>
      <c r="B18" s="2" t="s">
        <v>57</v>
      </c>
      <c r="C18" s="3">
        <v>0</v>
      </c>
      <c r="D18" s="4" t="s">
        <v>19</v>
      </c>
      <c r="E18" s="2" t="s">
        <v>20</v>
      </c>
      <c r="F18" s="2" t="s">
        <v>14</v>
      </c>
      <c r="G18" s="2" t="s">
        <v>21</v>
      </c>
      <c r="H18" s="2" t="str">
        <f>IF(AND(F18="High",G18="High"),"01 - Maximum",
  IF(OR(AND(F18="High",G18="Medium"),AND(F18="Medium",G18="High")),"02 - High",
  IF(OR(AND(F18="Medium",G18="Medium"),AND(F18="High",G18="Low"),AND(F18="Low",G18="High")),"03 - Medium",
  IF(AND(F18="Low",G18="Medium"),"04 - Low","05 - Very low"))))</f>
        <v>02 - High</v>
      </c>
      <c r="I18" s="2" t="s">
        <v>15</v>
      </c>
      <c r="J18" s="9" t="s">
        <v>16</v>
      </c>
    </row>
    <row r="19" spans="1:19" ht="40.5" customHeight="1">
      <c r="A19" s="6" t="s">
        <v>58</v>
      </c>
      <c r="B19" s="7" t="s">
        <v>59</v>
      </c>
      <c r="C19" s="8">
        <v>1</v>
      </c>
      <c r="D19" s="10" t="s">
        <v>60</v>
      </c>
      <c r="E19" s="7" t="s">
        <v>20</v>
      </c>
      <c r="F19" s="7" t="s">
        <v>14</v>
      </c>
      <c r="G19" s="7" t="s">
        <v>14</v>
      </c>
      <c r="H19" s="7" t="str">
        <f>IF(AND(F19="High",G19="High"),"01 - Maximum",
  IF(OR(AND(F19="High",G19="Medium"),AND(F19="Medium",G19="High")),"02 - High",
  IF(OR(AND(F19="Medium",G19="Medium"),AND(F19="High",G19="Low"),AND(F19="Low",G19="High")),"03 - Medium",
  IF(AND(F19="Low",G19="Medium"),"04 - Low","05 - Very low"))))</f>
        <v>01 - Maximum</v>
      </c>
      <c r="I19" s="7" t="s">
        <v>24</v>
      </c>
      <c r="J19" s="9" t="s">
        <v>61</v>
      </c>
    </row>
    <row r="20" spans="1:19" s="18" customFormat="1" ht="48" customHeight="1">
      <c r="A20" s="1" t="s">
        <v>62</v>
      </c>
      <c r="B20" s="2" t="s">
        <v>63</v>
      </c>
      <c r="C20" s="3">
        <v>0</v>
      </c>
      <c r="D20" s="4" t="s">
        <v>19</v>
      </c>
      <c r="E20" s="2" t="s">
        <v>51</v>
      </c>
      <c r="F20" s="2" t="s">
        <v>14</v>
      </c>
      <c r="G20" s="2" t="s">
        <v>34</v>
      </c>
      <c r="H20" s="2" t="str">
        <f>IF(AND(F20="High",G20="High"),"01 - Maximum",
  IF(OR(AND(F20="High",G20="Medium"),AND(F20="Medium",G20="High")),"02 - High",
  IF(OR(AND(F20="Medium",G20="Medium"),AND(F20="High",G20="Low"),AND(F20="Low",G20="High")),"03 - Medium",
  IF(AND(F20="Low",G20="Medium"),"04 - Low","05 - Very low"))))</f>
        <v>03 - Medium</v>
      </c>
      <c r="I20" s="2" t="s">
        <v>15</v>
      </c>
      <c r="J20" s="9" t="s">
        <v>16</v>
      </c>
      <c r="K20" s="9"/>
      <c r="L20" s="9"/>
      <c r="M20" s="9"/>
      <c r="N20" s="9"/>
      <c r="O20" s="9"/>
      <c r="P20" s="9"/>
      <c r="Q20" s="9"/>
      <c r="R20" s="9"/>
      <c r="S20" s="9"/>
    </row>
    <row r="21" spans="1:19" s="19" customFormat="1" ht="50.1" customHeight="1">
      <c r="A21" s="6" t="s">
        <v>64</v>
      </c>
      <c r="B21" s="7" t="s">
        <v>65</v>
      </c>
      <c r="C21" s="8">
        <v>0</v>
      </c>
      <c r="D21" s="4" t="s">
        <v>19</v>
      </c>
      <c r="E21" s="7" t="s">
        <v>51</v>
      </c>
      <c r="F21" s="7" t="s">
        <v>34</v>
      </c>
      <c r="G21" s="7" t="s">
        <v>34</v>
      </c>
      <c r="H21" s="7" t="str">
        <f>IF(AND(F21="High",G21="High"),"01 - Maximum",
  IF(OR(AND(F21="High",G21="Medium"),AND(F21="Medium",G21="High")),"02 - High",
  IF(OR(AND(F21="Medium",G21="Medium"),AND(F21="High",G21="Low"),AND(F21="Low",G21="High")),"03 - Medium",
  IF(AND(F21="Low",G21="Medium"),"04 - Low","05 - Very low"))))</f>
        <v>05 - Very low</v>
      </c>
      <c r="I21" s="7" t="s">
        <v>15</v>
      </c>
      <c r="J21" s="9" t="s">
        <v>16</v>
      </c>
      <c r="K21" s="9"/>
      <c r="L21" s="9"/>
      <c r="M21" s="9"/>
      <c r="N21" s="9"/>
      <c r="O21" s="9"/>
      <c r="P21" s="9"/>
      <c r="Q21" s="9"/>
      <c r="R21" s="9"/>
      <c r="S21" s="9"/>
    </row>
    <row r="22" spans="1:19" ht="57.6" customHeight="1">
      <c r="A22" s="1" t="s">
        <v>66</v>
      </c>
      <c r="B22" s="2" t="s">
        <v>67</v>
      </c>
      <c r="C22" s="3">
        <v>0</v>
      </c>
      <c r="D22" s="4" t="s">
        <v>19</v>
      </c>
      <c r="E22" s="2" t="s">
        <v>51</v>
      </c>
      <c r="F22" s="2" t="s">
        <v>34</v>
      </c>
      <c r="G22" s="2" t="s">
        <v>34</v>
      </c>
      <c r="H22" s="2" t="str">
        <f>IF(AND(F22="High",G22="High"),"01 - Maximum",
  IF(OR(AND(F22="High",G22="Medium"),AND(F22="Medium",G22="High")),"02 - High",
  IF(OR(AND(F22="Medium",G22="Medium"),AND(F22="High",G22="Low"),AND(F22="Low",G22="High")),"03 - Medium",
  IF(AND(F22="Low",G22="Medium"),"04 - Low","05 - Very low"))))</f>
        <v>05 - Very low</v>
      </c>
      <c r="I22" s="2" t="s">
        <v>15</v>
      </c>
      <c r="J22" s="9" t="s">
        <v>16</v>
      </c>
    </row>
    <row r="23" spans="1:19" ht="27.95">
      <c r="A23" s="6" t="s">
        <v>68</v>
      </c>
      <c r="B23" s="7" t="s">
        <v>69</v>
      </c>
      <c r="C23" s="8">
        <v>1</v>
      </c>
      <c r="D23" s="10" t="s">
        <v>70</v>
      </c>
      <c r="E23" s="7" t="s">
        <v>51</v>
      </c>
      <c r="F23" s="7" t="s">
        <v>14</v>
      </c>
      <c r="G23" s="7" t="s">
        <v>14</v>
      </c>
      <c r="H23" s="7" t="str">
        <f>IF(AND(F23="High",G23="High"),"01 - Maximum",
  IF(OR(AND(F23="High",G23="Medium"),AND(F23="Medium",G23="High")),"02 - High",
  IF(OR(AND(F23="Medium",G23="Medium"),AND(F23="High",G23="Low"),AND(F23="Low",G23="High")),"03 - Medium",
  IF(AND(F23="Low",G23="Medium"),"04 - Low","05 - Very low"))))</f>
        <v>01 - Maximum</v>
      </c>
      <c r="I23" s="7" t="s">
        <v>71</v>
      </c>
      <c r="J23" s="9" t="s">
        <v>16</v>
      </c>
    </row>
    <row r="24" spans="1:19" s="17" customFormat="1" ht="38.450000000000003" customHeight="1">
      <c r="A24" s="1" t="s">
        <v>72</v>
      </c>
      <c r="B24" s="2" t="s">
        <v>73</v>
      </c>
      <c r="C24" s="3">
        <v>0</v>
      </c>
      <c r="D24" s="4" t="s">
        <v>70</v>
      </c>
      <c r="E24" s="2" t="s">
        <v>13</v>
      </c>
      <c r="F24" s="2" t="s">
        <v>14</v>
      </c>
      <c r="G24" s="2" t="s">
        <v>34</v>
      </c>
      <c r="H24" s="2" t="str">
        <f>IF(AND(F24="High",G24="High"),"01 - Maximum",
  IF(OR(AND(F24="High",G24="Medium"),AND(F24="Medium",G24="High")),"02 - High",
  IF(OR(AND(F24="Medium",G24="Medium"),AND(F24="High",G24="Low"),AND(F24="Low",G24="High")),"03 - Medium",
  IF(AND(F24="Low",G24="Medium"),"04 - Low","05 - Very low"))))</f>
        <v>03 - Medium</v>
      </c>
      <c r="I24" s="2" t="s">
        <v>74</v>
      </c>
      <c r="J24" s="9" t="s">
        <v>16</v>
      </c>
      <c r="K24" s="9"/>
      <c r="L24" s="9"/>
      <c r="M24" s="9"/>
      <c r="N24" s="9"/>
      <c r="O24" s="9"/>
      <c r="P24" s="9"/>
      <c r="Q24" s="9"/>
      <c r="R24" s="9"/>
      <c r="S24" s="9"/>
    </row>
    <row r="25" spans="1:19" ht="41.45" customHeight="1">
      <c r="A25" s="6" t="s">
        <v>75</v>
      </c>
      <c r="B25" s="7" t="s">
        <v>76</v>
      </c>
      <c r="C25" s="8">
        <v>1</v>
      </c>
      <c r="D25" s="10" t="s">
        <v>28</v>
      </c>
      <c r="E25" s="7" t="s">
        <v>38</v>
      </c>
      <c r="F25" s="7" t="s">
        <v>14</v>
      </c>
      <c r="G25" s="7" t="s">
        <v>21</v>
      </c>
      <c r="H25" s="7" t="str">
        <f>IF(AND(F25="High",G25="High"),"01 - Maximum",
  IF(OR(AND(F25="High",G25="Medium"),AND(F25="Medium",G25="High")),"02 - High",
  IF(OR(AND(F25="Medium",G25="Medium"),AND(F25="High",G25="Low"),AND(F25="Low",G25="High")),"03 - Medium",
  IF(AND(F25="Low",G25="Medium"),"04 - Low","05 - Very low"))))</f>
        <v>02 - High</v>
      </c>
      <c r="I25" s="7" t="s">
        <v>24</v>
      </c>
      <c r="J25" s="9" t="s">
        <v>16</v>
      </c>
    </row>
    <row r="26" spans="1:19" ht="57.6" customHeight="1">
      <c r="A26" s="1" t="s">
        <v>77</v>
      </c>
      <c r="B26" s="2" t="s">
        <v>78</v>
      </c>
      <c r="C26" s="3">
        <v>1</v>
      </c>
      <c r="D26" s="4" t="s">
        <v>70</v>
      </c>
      <c r="E26" s="2" t="s">
        <v>38</v>
      </c>
      <c r="F26" s="2" t="s">
        <v>14</v>
      </c>
      <c r="G26" s="2" t="s">
        <v>21</v>
      </c>
      <c r="H26" s="2" t="str">
        <f>IF(AND(F26="High",G26="High"),"01 - Maximum",
  IF(OR(AND(F26="High",G26="Medium"),AND(F26="Medium",G26="High")),"02 - High",
  IF(OR(AND(F26="Medium",G26="Medium"),AND(F26="High",G26="Low"),AND(F26="Low",G26="High")),"03 - Medium",
  IF(AND(F26="Low",G26="Medium"),"04 - Low","05 - Very low"))))</f>
        <v>02 - High</v>
      </c>
      <c r="I26" s="2" t="s">
        <v>79</v>
      </c>
      <c r="J26" s="9" t="s">
        <v>25</v>
      </c>
    </row>
    <row r="27" spans="1:19" ht="86.1" customHeight="1">
      <c r="A27" s="6" t="s">
        <v>80</v>
      </c>
      <c r="B27" s="7" t="s">
        <v>81</v>
      </c>
      <c r="C27" s="8">
        <v>1</v>
      </c>
      <c r="D27" s="10" t="s">
        <v>28</v>
      </c>
      <c r="E27" s="7" t="s">
        <v>29</v>
      </c>
      <c r="F27" s="7" t="s">
        <v>14</v>
      </c>
      <c r="G27" s="7" t="s">
        <v>14</v>
      </c>
      <c r="H27" s="7" t="str">
        <f>IF(AND(F27="High",G27="High"),"01 - Maximum",
  IF(OR(AND(F27="High",G27="Medium"),AND(F27="Medium",G27="High")),"02 - High",
  IF(OR(AND(F27="Medium",G27="Medium"),AND(F27="High",G27="Low"),AND(F27="Low",G27="High")),"03 - Medium",
  IF(AND(F27="Low",G27="Medium"),"04 - Low","05 - Very low"))))</f>
        <v>01 - Maximum</v>
      </c>
      <c r="I27" s="7" t="s">
        <v>24</v>
      </c>
      <c r="J27" s="9" t="s">
        <v>25</v>
      </c>
    </row>
    <row r="28" spans="1:19" ht="56.1">
      <c r="A28" s="1" t="s">
        <v>82</v>
      </c>
      <c r="B28" s="2" t="s">
        <v>83</v>
      </c>
      <c r="C28" s="3">
        <v>0</v>
      </c>
      <c r="D28" s="4" t="s">
        <v>19</v>
      </c>
      <c r="E28" s="2" t="s">
        <v>20</v>
      </c>
      <c r="F28" s="2" t="s">
        <v>14</v>
      </c>
      <c r="G28" s="2" t="s">
        <v>34</v>
      </c>
      <c r="H28" s="2" t="str">
        <f>IF(AND(F28="High",G28="High"),"01 - Maximum",
  IF(OR(AND(F28="High",G28="Medium"),AND(F28="Medium",G28="High")),"02 - High",
  IF(OR(AND(F28="Medium",G28="Medium"),AND(F28="High",G28="Low"),AND(F28="Low",G28="High")),"03 - Medium",
  IF(AND(F28="Low",G28="Medium"),"04 - Low","05 - Very low"))))</f>
        <v>03 - Medium</v>
      </c>
      <c r="I28" s="2" t="s">
        <v>84</v>
      </c>
      <c r="J28" s="9" t="s">
        <v>16</v>
      </c>
    </row>
    <row r="29" spans="1:19" ht="14.1"/>
    <row r="30" spans="1:19" ht="14.1"/>
    <row r="31" spans="1:19" ht="14.1"/>
    <row r="32" spans="1:19" ht="14.1"/>
    <row r="33" ht="14.1"/>
    <row r="34" ht="14.1"/>
    <row r="35" ht="14.1"/>
    <row r="36" ht="14.1"/>
    <row r="37" ht="14.1"/>
    <row r="38" ht="14.1"/>
    <row r="39" ht="14.1"/>
    <row r="40" ht="14.1"/>
    <row r="41" ht="14.1"/>
    <row r="42" ht="14.1"/>
    <row r="43" ht="14.1"/>
    <row r="44" ht="14.1"/>
    <row r="45" ht="14.1"/>
    <row r="46" ht="14.1"/>
    <row r="47" ht="14.1"/>
    <row r="48" ht="14.1"/>
    <row r="49" ht="14.1"/>
    <row r="50" ht="14.1"/>
    <row r="51" ht="14.1"/>
    <row r="52" ht="14.1"/>
    <row r="53" ht="14.1"/>
    <row r="54" ht="14.1"/>
    <row r="55" ht="14.1"/>
    <row r="56" ht="14.1"/>
    <row r="57" ht="14.1"/>
    <row r="58" ht="14.1"/>
    <row r="59" ht="14.1"/>
    <row r="60" ht="14.1"/>
    <row r="61" ht="14.1"/>
    <row r="62" ht="14.1"/>
    <row r="63" ht="14.1"/>
    <row r="64" ht="14.1"/>
    <row r="65" ht="14.1"/>
    <row r="66" ht="14.1"/>
    <row r="67" ht="14.1"/>
    <row r="68" ht="14.1"/>
    <row r="69" ht="14.1"/>
    <row r="70" ht="14.1"/>
    <row r="71" ht="14.1"/>
    <row r="72" ht="14.1"/>
    <row r="73" ht="14.1"/>
    <row r="74" ht="14.1"/>
    <row r="75" ht="14.1"/>
    <row r="76" ht="14.1"/>
    <row r="77" ht="14.1"/>
    <row r="78" ht="14.1"/>
    <row r="79" ht="14.1"/>
    <row r="80" ht="14.1"/>
    <row r="81" ht="14.1"/>
    <row r="82" ht="14.1"/>
    <row r="83" ht="14.1"/>
    <row r="84" ht="14.1"/>
    <row r="85" ht="14.1"/>
    <row r="86" ht="14.1"/>
    <row r="87" ht="14.1"/>
    <row r="88" ht="14.1"/>
    <row r="89" ht="14.1"/>
    <row r="90" ht="14.1"/>
    <row r="91" ht="14.1"/>
    <row r="92" ht="14.1"/>
    <row r="93" ht="14.1"/>
    <row r="94" ht="14.1"/>
    <row r="95" ht="14.1"/>
    <row r="96" ht="14.1"/>
    <row r="97" ht="14.1"/>
    <row r="98" ht="14.1"/>
    <row r="99" ht="14.1"/>
    <row r="100" ht="14.1"/>
    <row r="101" ht="14.1"/>
    <row r="102" ht="14.1"/>
    <row r="103" ht="14.1"/>
    <row r="104" ht="14.1"/>
    <row r="105" ht="14.1"/>
    <row r="106" ht="14.1"/>
    <row r="107" ht="14.1"/>
    <row r="108" ht="14.1"/>
    <row r="109" ht="14.1"/>
    <row r="110" ht="14.1"/>
    <row r="111" ht="14.1"/>
    <row r="112" ht="14.1"/>
    <row r="113" ht="14.1"/>
    <row r="114" ht="14.1"/>
    <row r="115" ht="14.1"/>
    <row r="116" ht="14.1"/>
    <row r="117" ht="14.1"/>
    <row r="118" ht="14.1"/>
    <row r="119" ht="14.1"/>
    <row r="120" ht="14.1"/>
    <row r="121" ht="14.1"/>
    <row r="122" ht="14.1"/>
    <row r="123" ht="14.1"/>
    <row r="124" ht="14.1"/>
    <row r="125" ht="14.1"/>
    <row r="126" ht="14.1"/>
    <row r="127" ht="14.1"/>
    <row r="128" ht="14.1"/>
    <row r="129" ht="14.1"/>
    <row r="130" ht="14.1"/>
    <row r="131" ht="14.1"/>
    <row r="132" ht="14.1"/>
    <row r="133" ht="14.1"/>
    <row r="134" ht="14.1"/>
    <row r="135" ht="14.1"/>
    <row r="136" ht="14.1"/>
    <row r="137" ht="14.1"/>
    <row r="138" ht="14.1"/>
    <row r="139" ht="14.1"/>
    <row r="140" ht="14.1"/>
    <row r="141" ht="14.1"/>
    <row r="142" ht="14.1"/>
    <row r="143" ht="14.1"/>
    <row r="144" ht="14.1"/>
    <row r="145" ht="14.1"/>
    <row r="146" ht="14.1"/>
    <row r="147" ht="14.1"/>
    <row r="148" ht="14.1"/>
    <row r="149" ht="14.1"/>
    <row r="150" ht="14.1"/>
    <row r="151" ht="14.1"/>
    <row r="152" ht="14.1"/>
    <row r="153" ht="14.1"/>
    <row r="154" ht="14.1"/>
    <row r="155" ht="14.1"/>
    <row r="156" ht="14.1"/>
    <row r="157" ht="14.1"/>
    <row r="158" ht="14.1"/>
    <row r="159" ht="14.1"/>
    <row r="160" ht="14.1"/>
    <row r="161" ht="14.1"/>
    <row r="162" ht="14.1"/>
    <row r="163" ht="14.1"/>
    <row r="164" ht="14.1"/>
    <row r="165" ht="14.1"/>
    <row r="166" ht="14.1"/>
    <row r="167" ht="14.1"/>
    <row r="168" ht="14.1"/>
    <row r="169" ht="14.1"/>
    <row r="170" ht="14.1"/>
    <row r="171" ht="14.1"/>
    <row r="172" ht="14.1"/>
    <row r="173" ht="14.1"/>
    <row r="174" ht="14.1"/>
    <row r="175" ht="14.1"/>
    <row r="176" ht="14.1"/>
    <row r="177" ht="14.1"/>
    <row r="178" ht="14.1"/>
    <row r="179" ht="14.1"/>
    <row r="180" ht="14.1"/>
    <row r="181" ht="14.1"/>
    <row r="182" ht="14.1"/>
    <row r="183" ht="14.1"/>
    <row r="184" ht="14.1"/>
    <row r="185" ht="14.1"/>
    <row r="186" ht="14.1"/>
    <row r="187" ht="14.1"/>
    <row r="188" ht="14.1"/>
    <row r="189" ht="14.1"/>
    <row r="190" ht="14.1"/>
    <row r="191" ht="14.1"/>
    <row r="192" ht="14.1"/>
    <row r="193" ht="14.1"/>
    <row r="194" ht="14.1"/>
    <row r="195" ht="14.1"/>
    <row r="196" ht="14.1"/>
    <row r="197" ht="14.1"/>
    <row r="198" ht="14.1"/>
    <row r="199" ht="14.1"/>
    <row r="200" ht="14.1"/>
    <row r="201" ht="14.1"/>
    <row r="202" ht="14.1"/>
    <row r="203" ht="14.1"/>
    <row r="204" ht="14.1"/>
    <row r="205" ht="14.1"/>
    <row r="206" ht="14.1"/>
    <row r="207" ht="14.1"/>
    <row r="208" ht="14.1"/>
    <row r="209" ht="14.1"/>
    <row r="210" ht="14.1"/>
    <row r="211" ht="14.1"/>
    <row r="212" ht="14.1"/>
    <row r="213" ht="14.1"/>
    <row r="214" ht="14.1"/>
    <row r="215" ht="14.1"/>
    <row r="216" ht="14.1"/>
    <row r="217" ht="14.1"/>
    <row r="218" ht="14.1"/>
    <row r="219" ht="14.1"/>
    <row r="220" ht="14.1"/>
    <row r="221" ht="14.1"/>
    <row r="222" ht="14.1"/>
    <row r="223" ht="14.1"/>
    <row r="224" ht="14.1"/>
    <row r="225" ht="14.1"/>
    <row r="226" ht="14.1"/>
    <row r="227" ht="14.1"/>
    <row r="228" ht="14.1"/>
    <row r="229" ht="14.1"/>
    <row r="230" ht="14.1"/>
    <row r="231" ht="14.1"/>
    <row r="232" ht="14.1"/>
    <row r="233" ht="14.1"/>
    <row r="234" ht="14.1"/>
    <row r="235" ht="14.1"/>
    <row r="236" ht="14.1"/>
    <row r="237" ht="14.1"/>
    <row r="238" ht="14.1"/>
    <row r="239" ht="14.1"/>
    <row r="240" ht="14.1"/>
    <row r="241" ht="14.1"/>
    <row r="242" ht="14.1"/>
    <row r="243" ht="14.1"/>
    <row r="244" ht="14.1"/>
    <row r="245" ht="14.1"/>
    <row r="246" ht="14.1"/>
    <row r="247" ht="14.1"/>
    <row r="248" ht="14.1"/>
    <row r="249" ht="14.1"/>
    <row r="250" ht="14.1"/>
    <row r="251" ht="14.1"/>
    <row r="252" ht="14.1"/>
    <row r="253" ht="14.1"/>
    <row r="254" ht="14.1"/>
    <row r="255" ht="14.1"/>
    <row r="256" ht="14.1"/>
    <row r="257" ht="14.1"/>
    <row r="258" ht="14.1"/>
    <row r="259" ht="14.1"/>
    <row r="260" ht="14.1"/>
    <row r="261" ht="14.1"/>
    <row r="262" ht="14.1"/>
    <row r="263" ht="14.1"/>
    <row r="264" ht="14.1"/>
    <row r="265" ht="14.1"/>
    <row r="266" ht="14.1"/>
    <row r="267" ht="14.1"/>
    <row r="268" ht="14.1"/>
    <row r="269" ht="14.1"/>
    <row r="270" ht="14.1"/>
    <row r="271" ht="14.1"/>
    <row r="272" ht="14.1"/>
    <row r="273" ht="14.1"/>
    <row r="274" ht="14.1"/>
    <row r="275" ht="14.1"/>
    <row r="276" ht="14.1"/>
    <row r="277" ht="14.1"/>
    <row r="278" ht="14.1"/>
    <row r="279" ht="14.1"/>
    <row r="280" ht="14.1"/>
    <row r="281" ht="14.1"/>
    <row r="282" ht="14.1"/>
    <row r="283" ht="14.1"/>
    <row r="284" ht="14.1"/>
    <row r="285" ht="14.1"/>
    <row r="286" ht="14.1"/>
    <row r="287" ht="14.1"/>
    <row r="288" ht="14.1"/>
    <row r="289" ht="14.1"/>
    <row r="290" ht="14.1"/>
    <row r="291" ht="14.1"/>
    <row r="292" ht="14.1"/>
    <row r="293" ht="14.1"/>
    <row r="294" ht="14.1"/>
    <row r="295" ht="14.1"/>
    <row r="296" ht="14.1"/>
    <row r="297" ht="14.1"/>
    <row r="298" ht="14.1"/>
    <row r="299" ht="14.1"/>
    <row r="300" ht="14.1"/>
    <row r="301" ht="14.1"/>
    <row r="302" ht="14.1"/>
    <row r="303" ht="14.1"/>
    <row r="304" ht="14.1"/>
    <row r="305" ht="14.1"/>
    <row r="306" ht="14.1"/>
    <row r="307" ht="14.1"/>
    <row r="308" ht="14.1"/>
    <row r="309" ht="14.1"/>
    <row r="310" ht="14.1"/>
    <row r="311" ht="14.1"/>
    <row r="312" ht="14.1"/>
    <row r="313" ht="14.1"/>
    <row r="314" ht="14.1"/>
    <row r="315" ht="14.1"/>
    <row r="316" ht="14.1"/>
    <row r="317" ht="14.1"/>
    <row r="318" ht="14.1"/>
    <row r="319" ht="14.1"/>
    <row r="320" ht="14.1"/>
    <row r="321" ht="14.1"/>
    <row r="322" ht="14.1"/>
    <row r="323" ht="14.1"/>
    <row r="324" ht="14.1"/>
    <row r="325" ht="14.1"/>
    <row r="326" ht="14.1"/>
    <row r="327" ht="14.1"/>
    <row r="328" ht="14.1"/>
    <row r="329" ht="14.1"/>
    <row r="330" ht="14.1"/>
    <row r="331" ht="14.1"/>
    <row r="332" ht="14.1"/>
    <row r="333" ht="14.1"/>
    <row r="334" ht="14.1"/>
    <row r="335" ht="14.1"/>
    <row r="336" ht="14.1"/>
    <row r="337" ht="14.1"/>
    <row r="338" ht="14.1"/>
    <row r="339" ht="14.1"/>
    <row r="340" ht="14.1"/>
    <row r="341" ht="14.1"/>
    <row r="342" ht="14.1"/>
    <row r="343" ht="14.1"/>
    <row r="344" ht="14.1"/>
    <row r="345" ht="14.1"/>
    <row r="346" ht="14.1"/>
    <row r="347" ht="14.1"/>
    <row r="348" ht="14.1"/>
    <row r="349" ht="14.1"/>
    <row r="350" ht="14.1"/>
    <row r="351" ht="14.1"/>
    <row r="352" ht="14.1"/>
    <row r="353" ht="14.1"/>
    <row r="354" ht="14.1"/>
    <row r="355" ht="14.1"/>
    <row r="356" ht="14.1"/>
    <row r="357" ht="14.1"/>
    <row r="358" ht="14.1"/>
    <row r="359" ht="14.1"/>
    <row r="360" ht="14.1"/>
    <row r="361" ht="14.1"/>
    <row r="362" ht="14.1"/>
    <row r="363" ht="14.1"/>
    <row r="364" ht="14.1"/>
    <row r="365" ht="14.1"/>
    <row r="366" ht="14.1"/>
    <row r="367" ht="14.1"/>
    <row r="368" ht="14.1"/>
    <row r="369" ht="14.1"/>
    <row r="370" ht="14.1"/>
    <row r="371" ht="14.1"/>
    <row r="372" ht="14.1"/>
    <row r="373" ht="14.1"/>
    <row r="374" ht="14.1"/>
    <row r="375" ht="14.1"/>
    <row r="376" ht="14.1"/>
    <row r="377" ht="14.1"/>
    <row r="378" ht="14.1"/>
    <row r="379" ht="14.1"/>
    <row r="380" ht="14.1"/>
    <row r="381" ht="14.1"/>
    <row r="382" ht="14.1"/>
    <row r="383" ht="14.1"/>
    <row r="384" ht="14.1"/>
    <row r="385" ht="14.1"/>
    <row r="386" ht="14.1"/>
    <row r="387" ht="14.1"/>
    <row r="388" ht="14.1"/>
    <row r="389" ht="14.1"/>
    <row r="390" ht="14.1"/>
    <row r="391" ht="14.1"/>
    <row r="392" ht="14.1"/>
    <row r="393" ht="14.1"/>
    <row r="394" ht="14.1"/>
    <row r="395" ht="14.1"/>
    <row r="396" ht="14.1"/>
    <row r="397" ht="14.1"/>
    <row r="398" ht="14.1"/>
    <row r="399" ht="14.1"/>
    <row r="400" ht="14.1"/>
    <row r="401" ht="14.1"/>
    <row r="402" ht="14.1"/>
    <row r="403" ht="14.1"/>
    <row r="404" ht="14.1"/>
    <row r="405" ht="14.1"/>
    <row r="406" ht="14.1"/>
    <row r="407" ht="14.1"/>
    <row r="408" ht="14.1"/>
    <row r="409" ht="14.1"/>
    <row r="410" ht="14.1"/>
    <row r="411" ht="14.1"/>
    <row r="412" ht="14.1"/>
    <row r="413" ht="14.1"/>
    <row r="414" ht="14.1"/>
    <row r="415" ht="14.1"/>
    <row r="416" ht="14.1"/>
    <row r="417" ht="14.1"/>
    <row r="418" ht="14.1"/>
    <row r="419" ht="14.1"/>
    <row r="420" ht="14.1"/>
    <row r="421" ht="14.1"/>
    <row r="422" ht="14.1"/>
    <row r="423" ht="14.1"/>
    <row r="424" ht="14.1"/>
    <row r="425" ht="14.1"/>
    <row r="426" ht="14.1"/>
    <row r="427" ht="14.1"/>
    <row r="428" ht="14.1"/>
    <row r="429" ht="14.1"/>
    <row r="430" ht="14.1"/>
    <row r="431" ht="14.1"/>
    <row r="432" ht="14.1"/>
    <row r="433" ht="14.1"/>
    <row r="434" ht="14.1"/>
    <row r="435" ht="14.1"/>
    <row r="436" ht="14.1"/>
    <row r="437" ht="14.1"/>
    <row r="438" ht="14.1"/>
    <row r="439" ht="14.1"/>
    <row r="440" ht="14.1"/>
    <row r="441" ht="14.1"/>
    <row r="442" ht="14.1"/>
    <row r="443" ht="14.1"/>
    <row r="444" ht="14.1"/>
    <row r="445" ht="14.1"/>
    <row r="446" ht="14.1"/>
    <row r="447" ht="14.1"/>
    <row r="448" ht="14.1"/>
    <row r="449" ht="14.1"/>
    <row r="450" ht="14.1"/>
    <row r="451" ht="14.1"/>
    <row r="452" ht="14.1"/>
    <row r="453" ht="14.1"/>
    <row r="454" ht="14.1"/>
    <row r="455" ht="14.1"/>
    <row r="456" ht="14.1"/>
    <row r="457" ht="14.1"/>
    <row r="458" ht="14.1"/>
    <row r="459" ht="14.1"/>
    <row r="460" ht="14.1"/>
    <row r="461" ht="14.1"/>
    <row r="462" ht="14.1"/>
    <row r="463" ht="14.1"/>
    <row r="464" ht="14.1"/>
    <row r="465" ht="14.1"/>
    <row r="466" ht="14.1"/>
    <row r="467" ht="14.1"/>
    <row r="468" ht="14.1"/>
    <row r="469" ht="14.1"/>
    <row r="470" ht="14.1"/>
    <row r="471" ht="14.1"/>
    <row r="472" ht="14.1"/>
    <row r="473" ht="14.1"/>
    <row r="474" ht="14.1"/>
    <row r="475" ht="14.1"/>
    <row r="476" ht="14.1"/>
    <row r="477" ht="14.1"/>
    <row r="478" ht="14.1"/>
    <row r="479" ht="14.1"/>
    <row r="480" ht="14.1"/>
    <row r="481" ht="14.1"/>
    <row r="482" ht="14.1"/>
    <row r="483" ht="14.1"/>
    <row r="484" ht="14.1"/>
    <row r="485" ht="14.1"/>
    <row r="486" ht="14.1"/>
    <row r="487" ht="14.1"/>
    <row r="488" ht="14.1"/>
    <row r="489" ht="14.1"/>
    <row r="490" ht="14.1"/>
    <row r="491" ht="14.1"/>
    <row r="492" ht="14.1"/>
    <row r="493" ht="14.1"/>
    <row r="494" ht="14.1"/>
    <row r="495" ht="14.1"/>
    <row r="496" ht="14.1"/>
    <row r="497" ht="14.1"/>
    <row r="498" ht="14.1"/>
    <row r="499" ht="14.1"/>
    <row r="500" ht="14.1"/>
    <row r="501" ht="14.1"/>
    <row r="502" ht="14.1"/>
    <row r="503" ht="14.1"/>
    <row r="504" ht="14.1"/>
    <row r="505" ht="14.1"/>
    <row r="506" ht="14.1"/>
    <row r="507" ht="14.1"/>
    <row r="508" ht="14.1"/>
    <row r="509" ht="14.1"/>
    <row r="510" ht="14.1"/>
    <row r="511" ht="14.1"/>
    <row r="512" ht="14.1"/>
    <row r="513" ht="14.1"/>
    <row r="514" ht="14.1"/>
    <row r="515" ht="14.1"/>
    <row r="516" ht="14.1"/>
    <row r="517" ht="14.1"/>
    <row r="518" ht="14.1"/>
    <row r="519" ht="14.1"/>
    <row r="520" ht="14.1"/>
    <row r="521" ht="14.1"/>
    <row r="522" ht="14.1"/>
    <row r="523" ht="14.1"/>
    <row r="524" ht="14.1"/>
    <row r="525" ht="14.1"/>
    <row r="526" ht="14.1"/>
    <row r="527" ht="14.1"/>
    <row r="528" ht="14.1"/>
    <row r="529" ht="14.1"/>
    <row r="530" ht="14.1"/>
    <row r="531" ht="14.1"/>
    <row r="532" ht="14.1"/>
    <row r="533" ht="14.1"/>
    <row r="534" ht="14.1"/>
    <row r="535" ht="14.1"/>
    <row r="536" ht="14.1"/>
    <row r="537" ht="14.1"/>
    <row r="538" ht="14.1"/>
    <row r="539" ht="14.1"/>
    <row r="540" ht="14.1"/>
    <row r="541" ht="14.1"/>
    <row r="542" ht="14.1"/>
    <row r="543" ht="14.1"/>
    <row r="544" ht="14.1"/>
    <row r="545" ht="14.1"/>
    <row r="546" ht="14.1"/>
    <row r="547" ht="14.1"/>
    <row r="548" ht="14.1"/>
    <row r="549" ht="14.1"/>
    <row r="550" ht="14.1"/>
    <row r="551" ht="14.1"/>
    <row r="552" ht="14.1"/>
    <row r="553" ht="14.1"/>
    <row r="554" ht="14.1"/>
    <row r="555" ht="14.1"/>
    <row r="556" ht="14.1"/>
    <row r="557" ht="14.1"/>
    <row r="558" ht="14.1"/>
    <row r="559" ht="14.1"/>
    <row r="560" ht="14.1"/>
    <row r="561" ht="14.1"/>
    <row r="562" ht="14.1"/>
    <row r="563" ht="14.1"/>
    <row r="564" ht="14.1"/>
    <row r="565" ht="14.1"/>
    <row r="566" ht="14.1"/>
    <row r="567" ht="14.1"/>
    <row r="568" ht="14.1"/>
    <row r="569" ht="14.1"/>
    <row r="570" ht="14.1"/>
    <row r="571" ht="14.1"/>
    <row r="572" ht="14.1"/>
    <row r="573" ht="14.1"/>
    <row r="574" ht="14.1"/>
    <row r="575" ht="14.1"/>
    <row r="576" ht="14.1"/>
    <row r="577" ht="14.1"/>
    <row r="578" ht="14.1"/>
    <row r="579" ht="14.1"/>
    <row r="580" ht="14.1"/>
    <row r="581" ht="14.1"/>
    <row r="582" ht="14.1"/>
    <row r="583" ht="14.1"/>
    <row r="584" ht="14.1"/>
    <row r="585" ht="14.1"/>
    <row r="586" ht="14.1"/>
    <row r="587" ht="14.1"/>
    <row r="588" ht="14.1"/>
    <row r="589" ht="14.1"/>
    <row r="590" ht="14.1"/>
    <row r="591" ht="14.1"/>
    <row r="592" ht="14.1"/>
    <row r="593" ht="14.1"/>
    <row r="594" ht="14.1"/>
    <row r="595" ht="14.1"/>
    <row r="596" ht="14.1"/>
    <row r="597" ht="14.1"/>
    <row r="598" ht="14.1"/>
    <row r="599" ht="14.1"/>
    <row r="600" ht="14.1"/>
    <row r="601" ht="14.1"/>
    <row r="602" ht="14.1"/>
    <row r="603" ht="14.1"/>
    <row r="604" ht="14.1"/>
    <row r="605" ht="14.1"/>
    <row r="606" ht="14.1"/>
    <row r="607" ht="14.1"/>
    <row r="608" ht="14.1"/>
    <row r="609" ht="14.1"/>
    <row r="610" ht="14.1"/>
    <row r="611" ht="14.1"/>
    <row r="612" ht="14.1"/>
    <row r="613" ht="14.1"/>
    <row r="614" ht="14.1"/>
    <row r="615" ht="14.1"/>
    <row r="616" ht="14.1"/>
    <row r="617" ht="14.1"/>
    <row r="618" ht="14.1"/>
    <row r="619" ht="14.1"/>
    <row r="620" ht="14.1"/>
    <row r="621" ht="14.1"/>
    <row r="622" ht="14.1"/>
    <row r="623" ht="14.1"/>
    <row r="624" ht="14.1"/>
    <row r="625" ht="14.1"/>
    <row r="626" ht="14.1"/>
    <row r="627" ht="14.1"/>
    <row r="628" ht="14.1"/>
    <row r="629" ht="14.1"/>
    <row r="630" ht="14.1"/>
    <row r="631" ht="14.1"/>
    <row r="632" ht="14.1"/>
    <row r="633" ht="14.1"/>
    <row r="634" ht="14.1"/>
    <row r="635" ht="14.1"/>
    <row r="636" ht="14.1"/>
    <row r="637" ht="14.1"/>
    <row r="638" ht="14.1"/>
    <row r="639" ht="14.1"/>
    <row r="640" ht="14.1"/>
    <row r="641" ht="14.1"/>
    <row r="642" ht="14.1"/>
    <row r="643" ht="14.1"/>
    <row r="644" ht="14.1"/>
    <row r="645" ht="14.1"/>
    <row r="646" ht="14.1"/>
    <row r="647" ht="14.1"/>
    <row r="648" ht="14.1"/>
    <row r="649" ht="14.1"/>
    <row r="650" ht="14.1"/>
    <row r="651" ht="14.1"/>
    <row r="652" ht="14.1"/>
    <row r="653" ht="14.1"/>
    <row r="654" ht="14.1"/>
    <row r="655" ht="14.1"/>
    <row r="656" ht="14.1"/>
    <row r="657" ht="14.1"/>
    <row r="658" ht="14.1"/>
    <row r="659" ht="14.1"/>
    <row r="660" ht="14.1"/>
    <row r="661" ht="14.1"/>
    <row r="662" ht="14.1"/>
    <row r="663" ht="14.1"/>
    <row r="664" ht="14.1"/>
    <row r="665" ht="14.1"/>
    <row r="666" ht="14.1"/>
    <row r="667" ht="14.1"/>
    <row r="668" ht="14.1"/>
    <row r="669" ht="14.1"/>
    <row r="670" ht="14.1"/>
    <row r="671" ht="14.1"/>
    <row r="672" ht="14.1"/>
    <row r="673" ht="14.1"/>
    <row r="674" ht="14.1"/>
    <row r="675" ht="14.1"/>
    <row r="676" ht="14.1"/>
    <row r="677" ht="14.1"/>
    <row r="678" ht="14.1"/>
    <row r="679" ht="14.1"/>
    <row r="680" ht="14.1"/>
    <row r="681" ht="14.1"/>
    <row r="682" ht="14.1"/>
    <row r="683" ht="14.1"/>
    <row r="684" ht="14.1"/>
    <row r="685" ht="14.1"/>
    <row r="686" ht="14.1"/>
    <row r="687" ht="14.1"/>
    <row r="688" ht="14.1"/>
    <row r="689" ht="14.1"/>
    <row r="690" ht="14.1"/>
    <row r="691" ht="14.1"/>
    <row r="692" ht="14.1"/>
    <row r="693" ht="14.1"/>
    <row r="694" ht="14.1"/>
    <row r="695" ht="14.1"/>
    <row r="696" ht="14.1"/>
    <row r="697" ht="14.1"/>
    <row r="698" ht="14.1"/>
    <row r="699" ht="14.1"/>
    <row r="700" ht="14.1"/>
    <row r="701" ht="14.1"/>
    <row r="702" ht="14.1"/>
    <row r="703" ht="14.1"/>
    <row r="704" ht="14.1"/>
    <row r="705" ht="14.1"/>
    <row r="706" ht="14.1"/>
    <row r="707" ht="14.1"/>
    <row r="708" ht="14.1"/>
    <row r="709" ht="14.1"/>
    <row r="710" ht="14.1"/>
    <row r="711" ht="14.1"/>
    <row r="712" ht="14.1"/>
    <row r="713" ht="14.1"/>
    <row r="714" ht="14.1"/>
    <row r="715" ht="14.1"/>
    <row r="716" ht="14.1"/>
    <row r="717" ht="14.1"/>
    <row r="718" ht="14.1"/>
    <row r="719" ht="14.1"/>
    <row r="720" ht="14.1"/>
    <row r="721" ht="14.1"/>
    <row r="722" ht="14.1"/>
    <row r="723" ht="14.1"/>
    <row r="724" ht="14.1"/>
    <row r="725" ht="14.1"/>
    <row r="726" ht="14.1"/>
    <row r="727" ht="14.1"/>
    <row r="728" ht="14.1"/>
    <row r="729" ht="14.1"/>
    <row r="730" ht="14.1"/>
    <row r="731" ht="14.1"/>
    <row r="732" ht="14.1"/>
    <row r="733" ht="14.1"/>
    <row r="734" ht="14.1"/>
    <row r="735" ht="14.1"/>
    <row r="736" ht="14.1"/>
    <row r="737" ht="14.1"/>
    <row r="738" ht="14.1"/>
    <row r="739" ht="14.1"/>
    <row r="740" ht="14.1"/>
    <row r="741" ht="14.1"/>
    <row r="742" ht="14.1"/>
    <row r="743" ht="14.1"/>
    <row r="744" ht="14.1"/>
    <row r="745" ht="14.1"/>
    <row r="746" ht="14.1"/>
    <row r="747" ht="14.1"/>
    <row r="748" ht="14.1"/>
    <row r="749" ht="14.1"/>
    <row r="750" ht="14.1"/>
    <row r="751" ht="14.1"/>
    <row r="752" ht="14.1"/>
    <row r="753" ht="14.1"/>
    <row r="754" ht="14.1"/>
    <row r="755" ht="14.1"/>
    <row r="756" ht="14.1"/>
    <row r="757" ht="14.1"/>
    <row r="758" ht="14.1"/>
    <row r="759" ht="14.1"/>
    <row r="760" ht="14.1"/>
    <row r="761" ht="14.1"/>
    <row r="762" ht="14.1"/>
    <row r="763" ht="14.1"/>
    <row r="764" ht="14.1"/>
    <row r="765" ht="14.1"/>
    <row r="766" ht="14.1"/>
    <row r="767" ht="14.1"/>
    <row r="768" ht="14.1"/>
    <row r="769" ht="14.1"/>
    <row r="770" ht="14.1"/>
    <row r="771" ht="14.1"/>
    <row r="772" ht="14.1"/>
    <row r="773" ht="14.1"/>
    <row r="774" ht="14.1"/>
    <row r="775" ht="14.1"/>
    <row r="776" ht="14.1"/>
    <row r="777" ht="14.1"/>
    <row r="778" ht="14.1"/>
    <row r="779" ht="14.1"/>
    <row r="780" ht="14.1"/>
    <row r="781" ht="14.1"/>
    <row r="782" ht="14.1"/>
    <row r="783" ht="14.1"/>
    <row r="784" ht="14.1"/>
    <row r="785" ht="14.1"/>
    <row r="786" ht="14.1"/>
    <row r="787" ht="14.1"/>
    <row r="788" ht="14.1"/>
    <row r="789" ht="14.1"/>
    <row r="790" ht="14.1"/>
    <row r="791" ht="14.1"/>
    <row r="792" ht="14.1"/>
    <row r="793" ht="14.1"/>
    <row r="794" ht="14.1"/>
    <row r="795" ht="14.1"/>
    <row r="796" ht="14.1"/>
    <row r="797" ht="14.1"/>
    <row r="798" ht="14.1"/>
    <row r="799" ht="14.1"/>
    <row r="800" ht="14.1"/>
    <row r="801" ht="14.1"/>
    <row r="802" ht="14.1"/>
    <row r="803" ht="14.1"/>
    <row r="804" ht="14.1"/>
    <row r="805" ht="14.1"/>
    <row r="806" ht="14.1"/>
    <row r="807" ht="14.1"/>
    <row r="808" ht="14.1"/>
    <row r="809" ht="14.1"/>
    <row r="810" ht="14.1"/>
    <row r="811" ht="14.1"/>
    <row r="812" ht="14.1"/>
    <row r="813" ht="14.1"/>
    <row r="814" ht="14.1"/>
    <row r="815" ht="14.1"/>
    <row r="816" ht="14.1"/>
    <row r="817" ht="14.1"/>
    <row r="818" ht="14.1"/>
    <row r="819" ht="14.1"/>
    <row r="820" ht="14.1"/>
    <row r="821" ht="14.1"/>
    <row r="822" ht="14.1"/>
    <row r="823" ht="14.1"/>
    <row r="824" ht="14.1"/>
    <row r="825" ht="14.1"/>
    <row r="826" ht="14.1"/>
    <row r="827" ht="14.1"/>
    <row r="828" ht="14.1"/>
    <row r="829" ht="14.1"/>
    <row r="830" ht="14.1"/>
    <row r="831" ht="14.1"/>
    <row r="832" ht="14.1"/>
    <row r="833" ht="14.1"/>
    <row r="834" ht="14.1"/>
    <row r="835" ht="14.1"/>
    <row r="836" ht="14.1"/>
    <row r="837" ht="14.1"/>
    <row r="838" ht="14.1"/>
    <row r="839" ht="14.1"/>
    <row r="840" ht="14.1"/>
    <row r="841" ht="14.1"/>
    <row r="842" ht="14.1"/>
    <row r="843" ht="14.1"/>
    <row r="844" ht="14.1"/>
    <row r="845" ht="14.1"/>
    <row r="846" ht="14.1"/>
    <row r="847" ht="14.1"/>
    <row r="848" ht="14.1"/>
    <row r="849" ht="14.1"/>
    <row r="850" ht="14.1"/>
    <row r="851" ht="14.1"/>
    <row r="852" ht="14.1"/>
    <row r="853" ht="14.1"/>
    <row r="854" ht="14.1"/>
    <row r="855" ht="14.1"/>
    <row r="856" ht="14.1"/>
    <row r="857" ht="14.1"/>
    <row r="858" ht="14.1"/>
    <row r="859" ht="14.1"/>
    <row r="860" ht="14.1"/>
    <row r="861" ht="14.1"/>
    <row r="862" ht="14.1"/>
    <row r="863" ht="14.1"/>
    <row r="864" ht="14.1"/>
    <row r="865" ht="14.1"/>
    <row r="866" ht="14.1"/>
    <row r="867" ht="14.1"/>
    <row r="868" ht="14.1"/>
    <row r="869" ht="14.1"/>
    <row r="870" ht="14.1"/>
    <row r="871" ht="14.1"/>
    <row r="872" ht="14.1"/>
    <row r="873" ht="14.1"/>
    <row r="874" ht="14.1"/>
    <row r="875" ht="14.1"/>
    <row r="876" ht="14.1"/>
    <row r="877" ht="14.1"/>
    <row r="878" ht="14.1"/>
    <row r="879" ht="14.1"/>
    <row r="880" ht="14.1"/>
    <row r="881" ht="14.1"/>
    <row r="882" ht="14.1"/>
    <row r="883" ht="14.1"/>
    <row r="884" ht="14.1"/>
    <row r="885" ht="14.1"/>
    <row r="886" ht="14.1"/>
    <row r="887" ht="14.1"/>
    <row r="888" ht="14.1"/>
    <row r="889" ht="14.1"/>
    <row r="890" ht="14.1"/>
    <row r="891" ht="14.1"/>
    <row r="892" ht="14.1"/>
    <row r="893" ht="14.1"/>
    <row r="894" ht="14.1"/>
    <row r="895" ht="14.1"/>
    <row r="896" ht="14.1"/>
    <row r="897" ht="14.1"/>
    <row r="898" ht="14.1"/>
    <row r="899" ht="14.1"/>
    <row r="900" ht="14.1"/>
    <row r="901" ht="14.1"/>
    <row r="902" ht="14.1"/>
    <row r="903" ht="14.1"/>
    <row r="904" ht="14.1"/>
    <row r="905" ht="14.1"/>
    <row r="906" ht="14.1"/>
    <row r="907" ht="14.1"/>
    <row r="908" ht="14.1"/>
    <row r="909" ht="14.1"/>
    <row r="910" ht="14.1"/>
    <row r="911" ht="14.1"/>
    <row r="912" ht="14.1"/>
    <row r="913" ht="14.1"/>
    <row r="914" ht="14.1"/>
    <row r="915" ht="14.1"/>
    <row r="916" ht="14.1"/>
    <row r="917" ht="14.1"/>
    <row r="918" ht="14.1"/>
    <row r="919" ht="14.1"/>
    <row r="920" ht="14.1"/>
    <row r="921" ht="14.1"/>
    <row r="922" ht="14.1"/>
    <row r="923" ht="14.1"/>
    <row r="924" ht="14.1"/>
    <row r="925" ht="14.1"/>
    <row r="926" ht="14.1"/>
    <row r="927" ht="14.1"/>
    <row r="928" ht="14.1"/>
    <row r="929" ht="14.1"/>
    <row r="930" ht="14.1"/>
    <row r="931" ht="14.1"/>
    <row r="932" ht="14.1"/>
    <row r="933" ht="14.1"/>
    <row r="934" ht="14.1"/>
    <row r="935" ht="14.1"/>
    <row r="936" ht="14.1"/>
    <row r="937" ht="14.1"/>
    <row r="938" ht="14.1"/>
    <row r="939" ht="14.1"/>
    <row r="940" ht="14.1"/>
    <row r="941" ht="14.1"/>
    <row r="942" ht="14.1"/>
    <row r="943" ht="14.1"/>
    <row r="944" ht="14.1"/>
    <row r="945" ht="14.1"/>
    <row r="946" ht="14.1"/>
    <row r="947" ht="14.1"/>
    <row r="948" ht="14.1"/>
    <row r="949" ht="14.1"/>
    <row r="950" ht="14.1"/>
    <row r="951" ht="14.1"/>
    <row r="952" ht="14.1"/>
    <row r="953" ht="14.1"/>
    <row r="954" ht="14.1"/>
    <row r="955" ht="14.1"/>
    <row r="956" ht="14.1"/>
    <row r="957" ht="14.1"/>
    <row r="958" ht="14.1"/>
    <row r="959" ht="14.1"/>
    <row r="960" ht="14.1"/>
    <row r="961" ht="14.1"/>
    <row r="962" ht="14.1"/>
    <row r="963" ht="14.1"/>
    <row r="964" ht="14.1"/>
    <row r="965" ht="14.1"/>
    <row r="966" ht="14.1"/>
    <row r="967" ht="14.1"/>
    <row r="968" ht="14.1"/>
    <row r="969" ht="14.1"/>
    <row r="970" ht="14.1"/>
    <row r="971" ht="14.1"/>
    <row r="972" ht="14.1"/>
    <row r="973" ht="14.1"/>
    <row r="974" ht="14.1"/>
    <row r="975" ht="14.1"/>
    <row r="976" ht="14.1"/>
    <row r="977" ht="14.1"/>
    <row r="978" ht="14.1"/>
    <row r="979" ht="14.1"/>
    <row r="980" ht="14.1"/>
    <row r="981" ht="14.1"/>
    <row r="982" ht="14.1"/>
    <row r="983" ht="14.1"/>
    <row r="984" ht="14.1"/>
    <row r="985" ht="14.1"/>
    <row r="986" ht="14.1"/>
    <row r="987" ht="14.1"/>
    <row r="988" ht="14.1"/>
    <row r="989" ht="14.1"/>
    <row r="990" ht="14.1"/>
    <row r="991" ht="14.1"/>
    <row r="992" ht="14.1"/>
    <row r="993" ht="14.1"/>
    <row r="994" ht="14.1"/>
    <row r="995" ht="14.1"/>
    <row r="996" ht="14.1"/>
    <row r="997" ht="14.1"/>
    <row r="998" ht="14.1"/>
  </sheetData>
  <dataValidations count="6">
    <dataValidation type="list" allowBlank="1" sqref="G2:G28" xr:uid="{00000000-0002-0000-0000-000000000000}">
      <formula1>"Alta,Bassa,Media"</formula1>
    </dataValidation>
    <dataValidation type="list" allowBlank="1" sqref="E2:E28" xr:uid="{00000000-0002-0000-0000-000001000000}">
      <formula1>"1. Identificazione e descrizione del lotto,2. Classificazione degli oggetti,4. Case d’asta e dinamiche di mercato,3. Attribuzioni e autori,5. Valorizzazione storica"</formula1>
    </dataValidation>
    <dataValidation type="list" allowBlank="1" sqref="D2:D28" xr:uid="{00000000-0002-0000-0000-000002000000}">
      <formula1>"Lotto,Oggetto,Evento Asta,Case d’Asta,Collezione,Catalogo,Asta"</formula1>
    </dataValidation>
    <dataValidation type="list" allowBlank="1" sqref="F2:F28" xr:uid="{00000000-0002-0000-0000-000003000000}">
      <formula1>"Bassa,Alta"</formula1>
    </dataValidation>
    <dataValidation type="list" allowBlank="1" sqref="H2:H28" xr:uid="{00000000-0002-0000-0000-000004000000}">
      <formula1>"01 - Massima,02 - Alta,03 - Media,04 - Bassa,05 - Molto Bassa"</formula1>
    </dataValidation>
    <dataValidation type="list" allowBlank="1" sqref="I2:I28" xr:uid="{00000000-0002-0000-0000-000005000000}">
      <formula1>"Sulla singola descrizione,Frontespizio,Descrizione lotto,Tavole finali,Prefazione,Note a margine"</formula1>
    </dataValidation>
  </dataValidations>
  <pageMargins left="0" right="0" top="0" bottom="0" header="0" footer="0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Valentina Rossetti</dc:creator>
  <cp:keywords/>
  <dc:description/>
  <cp:lastModifiedBy/>
  <cp:revision/>
  <dcterms:created xsi:type="dcterms:W3CDTF">2025-09-24T12:13:45Z</dcterms:created>
  <dcterms:modified xsi:type="dcterms:W3CDTF">2025-12-09T18:07:55Z</dcterms:modified>
  <cp:category/>
  <cp:contentStatus/>
</cp:coreProperties>
</file>